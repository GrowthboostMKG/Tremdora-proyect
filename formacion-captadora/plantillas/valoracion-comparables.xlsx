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se usa" sheetId="1" state="visible" r:id="rId1"/>
    <sheet xmlns:r="http://schemas.openxmlformats.org/officeDocument/2006/relationships" name="Inmueble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Resultado" sheetId="4" state="visible" r:id="rId4"/>
    <sheet xmlns:r="http://schemas.openxmlformats.org/officeDocument/2006/relationships" name="Neto propiet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5A"/>
      <sz val="14"/>
    </font>
    <font>
      <i val="1"/>
      <color rgb="00555555"/>
    </font>
    <font>
      <b val="1"/>
    </font>
    <font>
      <b val="1"/>
      <color rgb="00FFFFFF"/>
    </font>
    <font>
      <i val="1"/>
      <color rgb="00888888"/>
    </font>
    <font>
      <color rgb="00555555"/>
    </font>
    <font/>
  </fonts>
  <fills count="5">
    <fill>
      <patternFill/>
    </fill>
    <fill>
      <patternFill patternType="gray125"/>
    </fill>
    <fill>
      <patternFill patternType="solid">
        <fgColor rgb="00FFF6D5"/>
      </patternFill>
    </fill>
    <fill>
      <patternFill patternType="solid">
        <fgColor rgb="001F4E5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0" fillId="4" borderId="1" pivotButton="0" quotePrefix="0" xfId="0"/>
    <xf numFmtId="3" fontId="0" fillId="2" borderId="1" pivotButton="0" quotePrefix="0" xfId="0"/>
    <xf numFmtId="3" fontId="0" fillId="4" borderId="1" pivotButton="0" quotePrefix="0" xfId="0"/>
    <xf numFmtId="2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1" fontId="0" fillId="4" borderId="1" pivotButton="0" quotePrefix="0" xfId="0"/>
    <xf numFmtId="3" fontId="3" fillId="4" borderId="1" pivotButton="0" quotePrefix="0" xfId="0"/>
    <xf numFmtId="1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Calculadora de valoración por comparables</t>
        </is>
      </c>
    </row>
    <row r="2">
      <c r="A2" t="inlineStr">
        <is>
          <t>Módulo 21 de la formación. Las celdas AMARILLAS se rellenan; las GRISES se calculan solas.</t>
        </is>
      </c>
    </row>
    <row r="3">
      <c r="A3" t="inlineStr"/>
    </row>
    <row r="4">
      <c r="A4" t="inlineStr">
        <is>
          <t>1. Hoja 'Inmueble': datos de la vivienda que valoras.</t>
        </is>
      </c>
    </row>
    <row r="5">
      <c r="A5" t="inlineStr">
        <is>
          <t>2. Hoja 'Comparables': hasta 10 viviendas. Elige el tipo (Vendido / Retirado / Publicado): el peso se pone solo.</t>
        </is>
      </c>
    </row>
    <row r="6">
      <c r="A6" t="inlineStr">
        <is>
          <t>3. Ajustes en %: positivo si TU vivienda es MEJOR que el comparable en ese aspecto; negativo si es PEOR.</t>
        </is>
      </c>
    </row>
    <row r="7">
      <c r="A7" t="inlineStr">
        <is>
          <t xml:space="preserve">   Ejemplo: el comparable está reformado y la tuya no → ajuste de estado negativo (p. ej. -8 %).</t>
        </is>
      </c>
    </row>
    <row r="8">
      <c r="A8" t="inlineStr">
        <is>
          <t xml:space="preserve">   La columna 'Margen de negociación' se aplica a anuncios: los precios publicados suelen cerrarse un 5–10 % más bajos.</t>
        </is>
      </c>
    </row>
    <row r="9">
      <c r="A9" t="inlineStr">
        <is>
          <t>4. Columna 'Incluir': pon 'No' a los comparables atípicos (por ejemplo, uno que lleva meses sin venderse a un precio alto).</t>
        </is>
      </c>
    </row>
    <row r="10">
      <c r="A10" t="inlineStr">
        <is>
          <t>5. Hoja 'Resultado': valor de mercado, rango y precio de salida sugerido.</t>
        </is>
      </c>
    </row>
    <row r="11">
      <c r="A11" t="inlineStr">
        <is>
          <t>6. Hoja 'Neto propietario': lo que le queda al propietario tras gastos e impuestos (estimación orientativa).</t>
        </is>
      </c>
    </row>
    <row r="12">
      <c r="A12" t="inlineStr"/>
    </row>
    <row r="13">
      <c r="A13" s="2" t="inlineStr">
        <is>
          <t>Los porcentajes de ajuste son orientativos: adáptalos a tu zona y valida la valoración con tu responsable.</t>
        </is>
      </c>
    </row>
    <row r="14">
      <c r="A14" s="2" t="inlineStr">
        <is>
          <t>Los datos de ejemplo corresponden al caso práctico del módulo 21. Bórralos y pon los tuyos.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Vivienda a valorar</t>
        </is>
      </c>
    </row>
    <row r="3">
      <c r="A3" s="3" t="inlineStr">
        <is>
          <t>Dirección (aprox.)</t>
        </is>
      </c>
      <c r="B3" s="4" t="inlineStr">
        <is>
          <t>Calle Ejemplo, Madrid</t>
        </is>
      </c>
    </row>
    <row r="4">
      <c r="A4" s="3" t="inlineStr">
        <is>
          <t>Tipo</t>
        </is>
      </c>
      <c r="B4" s="4" t="inlineStr">
        <is>
          <t>Piso</t>
        </is>
      </c>
    </row>
    <row r="5">
      <c r="A5" s="3" t="inlineStr">
        <is>
          <t>Superficie usada en la valoración (m²)</t>
        </is>
      </c>
      <c r="B5" s="4" t="n">
        <v>85</v>
      </c>
    </row>
    <row r="6">
      <c r="A6" s="3" t="inlineStr">
        <is>
          <t>Tipo de superficie</t>
        </is>
      </c>
      <c r="B6" s="4" t="inlineStr">
        <is>
          <t>Construida</t>
        </is>
      </c>
    </row>
    <row r="7">
      <c r="A7" s="3" t="inlineStr">
        <is>
          <t>Planta / ascensor</t>
        </is>
      </c>
      <c r="B7" s="4" t="inlineStr">
        <is>
          <t>3.ª con ascensor</t>
        </is>
      </c>
    </row>
    <row r="8">
      <c r="A8" s="3" t="inlineStr">
        <is>
          <t>Exterior / interior</t>
        </is>
      </c>
      <c r="B8" s="4" t="inlineStr">
        <is>
          <t>Exterior</t>
        </is>
      </c>
    </row>
    <row r="9">
      <c r="A9" s="3" t="inlineStr">
        <is>
          <t>Estado</t>
        </is>
      </c>
      <c r="B9" s="4" t="inlineStr">
        <is>
          <t>Buen estado</t>
        </is>
      </c>
    </row>
    <row r="10">
      <c r="A10" s="3" t="inlineStr">
        <is>
          <t>Garaje / trastero</t>
        </is>
      </c>
      <c r="B10" s="4" t="inlineStr">
        <is>
          <t>No / No</t>
        </is>
      </c>
    </row>
    <row r="11">
      <c r="A11" s="3" t="inlineStr">
        <is>
          <t>Año de construcción</t>
        </is>
      </c>
      <c r="B11" s="4" t="n">
        <v>1975</v>
      </c>
    </row>
    <row r="12">
      <c r="A12" s="3" t="inlineStr">
        <is>
          <t>Certificado energético</t>
        </is>
      </c>
      <c r="B12" s="4" t="inlineStr">
        <is>
          <t>E</t>
        </is>
      </c>
    </row>
    <row r="13">
      <c r="A13" s="3" t="inlineStr">
        <is>
          <t>Fecha de la valoración</t>
        </is>
      </c>
      <c r="B13" s="4" t="inlineStr">
        <is>
          <t>10/2026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26" customWidth="1" min="4" max="4"/>
    <col width="7" customWidth="1" min="5" max="5"/>
    <col width="12" customWidth="1" min="6" max="6"/>
    <col width="9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1" customWidth="1" min="13" max="13"/>
    <col width="12" customWidth="1" min="14" max="14"/>
    <col width="9" customWidth="1" min="15" max="15"/>
    <col width="13" customWidth="1" min="16" max="16"/>
    <col width="8" customWidth="1" min="17" max="17"/>
    <col width="34" customWidth="1" min="18" max="18"/>
    <col width="12" customWidth="1" min="19" max="19"/>
    <col width="12" customWidth="1" min="20" max="20"/>
  </cols>
  <sheetData>
    <row r="1" ht="48" customHeight="1">
      <c r="A1" s="5" t="inlineStr">
        <is>
          <t>#</t>
        </is>
      </c>
      <c r="B1" s="5" t="inlineStr">
        <is>
          <t>Tipo</t>
        </is>
      </c>
      <c r="C1" s="5" t="inlineStr">
        <is>
          <t>Peso</t>
        </is>
      </c>
      <c r="D1" s="5" t="inlineStr">
        <is>
          <t>Ubicación / referencia</t>
        </is>
      </c>
      <c r="E1" s="5" t="inlineStr">
        <is>
          <t>m²</t>
        </is>
      </c>
      <c r="F1" s="5" t="inlineStr">
        <is>
          <t>Precio (€)</t>
        </is>
      </c>
      <c r="G1" s="5" t="inlineStr">
        <is>
          <t>€/m²</t>
        </is>
      </c>
      <c r="H1" s="5" t="inlineStr">
        <is>
          <t>Ajuste ubicación %</t>
        </is>
      </c>
      <c r="I1" s="5" t="inlineStr">
        <is>
          <t>Ajuste planta/ascensor %</t>
        </is>
      </c>
      <c r="J1" s="5" t="inlineStr">
        <is>
          <t>Ajuste estado %</t>
        </is>
      </c>
      <c r="K1" s="5" t="inlineStr">
        <is>
          <t>Ajuste superficie %</t>
        </is>
      </c>
      <c r="L1" s="5" t="inlineStr">
        <is>
          <t>Ajuste extras %</t>
        </is>
      </c>
      <c r="M1" s="5" t="inlineStr">
        <is>
          <t>Ajuste fecha del dato %</t>
        </is>
      </c>
      <c r="N1" s="5" t="inlineStr">
        <is>
          <t>Margen de negociación %</t>
        </is>
      </c>
      <c r="O1" s="5" t="inlineStr">
        <is>
          <t>Factor total</t>
        </is>
      </c>
      <c r="P1" s="5" t="inlineStr">
        <is>
          <t>€/m² homogeneizado</t>
        </is>
      </c>
      <c r="Q1" s="5" t="inlineStr">
        <is>
          <t>Incluir</t>
        </is>
      </c>
      <c r="R1" s="5" t="inlineStr">
        <is>
          <t>Notas</t>
        </is>
      </c>
      <c r="S1" s="6" t="inlineStr">
        <is>
          <t>Aux: peso × €/m²</t>
        </is>
      </c>
      <c r="T1" s="6" t="inlineStr">
        <is>
          <t>Aux: peso</t>
        </is>
      </c>
    </row>
    <row r="2">
      <c r="A2" t="n">
        <v>1</v>
      </c>
      <c r="B2" s="4" t="inlineStr">
        <is>
          <t>Vendido</t>
        </is>
      </c>
      <c r="C2" s="7">
        <f>IF(B2="Vendido",3,IF(B2="Retirado",2,IF(B2="Publicado",1,"")))</f>
        <v/>
      </c>
      <c r="D2" s="4" t="inlineStr">
        <is>
          <t>Misma calle, nº 4</t>
        </is>
      </c>
      <c r="E2" s="4" t="n">
        <v>82</v>
      </c>
      <c r="F2" s="8" t="n">
        <v>270000</v>
      </c>
      <c r="G2" s="9">
        <f>IF(AND(E2&gt;0,F2&gt;0),F2/E2,"")</f>
        <v/>
      </c>
      <c r="H2" s="4" t="n">
        <v>0</v>
      </c>
      <c r="I2" s="4" t="n">
        <v>1</v>
      </c>
      <c r="J2" s="4" t="n">
        <v>0</v>
      </c>
      <c r="K2" s="4" t="n">
        <v>0</v>
      </c>
      <c r="L2" s="4" t="n">
        <v>0</v>
      </c>
      <c r="M2" s="4" t="n">
        <v>1</v>
      </c>
      <c r="N2" s="4" t="n">
        <v>0</v>
      </c>
      <c r="O2" s="10">
        <f>IF(G2="","",1+SUM(H2:N2)/100)</f>
        <v/>
      </c>
      <c r="P2" s="9">
        <f>IF(G2="","",G2*O2)</f>
        <v/>
      </c>
      <c r="Q2" s="4" t="inlineStr">
        <is>
          <t>Sí</t>
        </is>
      </c>
      <c r="R2" s="4" t="inlineStr">
        <is>
          <t>2.ª planta; vendido 05/2026</t>
        </is>
      </c>
      <c r="S2">
        <f>IF(AND(Q2="Sí",ISNUMBER(P2)),C2*P2,0)</f>
        <v/>
      </c>
      <c r="T2">
        <f>IF(AND(Q2="Sí",ISNUMBER(P2)),C2,0)</f>
        <v/>
      </c>
    </row>
    <row r="3">
      <c r="A3" t="n">
        <v>2</v>
      </c>
      <c r="B3" s="4" t="inlineStr">
        <is>
          <t>Vendido</t>
        </is>
      </c>
      <c r="C3" s="7">
        <f>IF(B3="Vendido",3,IF(B3="Retirado",2,IF(B3="Publicado",1,"")))</f>
        <v/>
      </c>
      <c r="D3" s="4" t="inlineStr">
        <is>
          <t>Calle paralela</t>
        </is>
      </c>
      <c r="E3" s="4" t="n">
        <v>90</v>
      </c>
      <c r="F3" s="8" t="n">
        <v>288000</v>
      </c>
      <c r="G3" s="9">
        <f>IF(AND(E3&gt;0,F3&gt;0),F3/E3,"")</f>
        <v/>
      </c>
      <c r="H3" s="4" t="n">
        <v>0</v>
      </c>
      <c r="I3" s="4" t="n">
        <v>-1</v>
      </c>
      <c r="J3" s="4" t="n">
        <v>-8</v>
      </c>
      <c r="K3" s="4" t="n">
        <v>1</v>
      </c>
      <c r="L3" s="4" t="n">
        <v>0</v>
      </c>
      <c r="M3" s="4" t="n">
        <v>2</v>
      </c>
      <c r="N3" s="4" t="n">
        <v>0</v>
      </c>
      <c r="O3" s="10">
        <f>IF(G3="","",1+SUM(H3:N3)/100)</f>
        <v/>
      </c>
      <c r="P3" s="9">
        <f>IF(G3="","",G3*O3)</f>
        <v/>
      </c>
      <c r="Q3" s="4" t="inlineStr">
        <is>
          <t>Sí</t>
        </is>
      </c>
      <c r="R3" s="4" t="inlineStr">
        <is>
          <t>Reformado; vendido 03/2026</t>
        </is>
      </c>
      <c r="S3">
        <f>IF(AND(Q3="Sí",ISNUMBER(P3)),C3*P3,0)</f>
        <v/>
      </c>
      <c r="T3">
        <f>IF(AND(Q3="Sí",ISNUMBER(P3)),C3,0)</f>
        <v/>
      </c>
    </row>
    <row r="4">
      <c r="A4" t="n">
        <v>3</v>
      </c>
      <c r="B4" s="4" t="inlineStr">
        <is>
          <t>Retirado</t>
        </is>
      </c>
      <c r="C4" s="7">
        <f>IF(B4="Vendido",3,IF(B4="Retirado",2,IF(B4="Publicado",1,"")))</f>
        <v/>
      </c>
      <c r="D4" s="4" t="inlineStr">
        <is>
          <t>A 200 m</t>
        </is>
      </c>
      <c r="E4" s="4" t="n">
        <v>80</v>
      </c>
      <c r="F4" s="8" t="n">
        <v>265000</v>
      </c>
      <c r="G4" s="9">
        <f>IF(AND(E4&gt;0,F4&gt;0),F4/E4,"")</f>
        <v/>
      </c>
      <c r="H4" s="4" t="n">
        <v>0</v>
      </c>
      <c r="I4" s="4" t="n">
        <v>2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-3</v>
      </c>
      <c r="O4" s="10">
        <f>IF(G4="","",1+SUM(H4:N4)/100)</f>
        <v/>
      </c>
      <c r="P4" s="9">
        <f>IF(G4="","",G4*O4)</f>
        <v/>
      </c>
      <c r="Q4" s="4" t="inlineStr">
        <is>
          <t>Sí</t>
        </is>
      </c>
      <c r="R4" s="4" t="inlineStr">
        <is>
          <t>1.ª planta; retirado 07/2026</t>
        </is>
      </c>
      <c r="S4">
        <f>IF(AND(Q4="Sí",ISNUMBER(P4)),C4*P4,0)</f>
        <v/>
      </c>
      <c r="T4">
        <f>IF(AND(Q4="Sí",ISNUMBER(P4)),C4,0)</f>
        <v/>
      </c>
    </row>
    <row r="5">
      <c r="A5" t="n">
        <v>4</v>
      </c>
      <c r="B5" s="4" t="inlineStr">
        <is>
          <t>Publicado</t>
        </is>
      </c>
      <c r="C5" s="7">
        <f>IF(B5="Vendido",3,IF(B5="Retirado",2,IF(B5="Publicado",1,"")))</f>
        <v/>
      </c>
      <c r="D5" s="4" t="inlineStr">
        <is>
          <t>A 300 m</t>
        </is>
      </c>
      <c r="E5" s="4" t="n">
        <v>88</v>
      </c>
      <c r="F5" s="8" t="n">
        <v>305000</v>
      </c>
      <c r="G5" s="9">
        <f>IF(AND(E5&gt;0,F5&gt;0),F5/E5,"")</f>
        <v/>
      </c>
      <c r="H5" s="4" t="n">
        <v>0</v>
      </c>
      <c r="I5" s="4" t="n">
        <v>-1</v>
      </c>
      <c r="J5" s="4" t="n">
        <v>-8</v>
      </c>
      <c r="K5" s="4" t="n">
        <v>0</v>
      </c>
      <c r="L5" s="4" t="n">
        <v>0</v>
      </c>
      <c r="M5" s="4" t="n">
        <v>0</v>
      </c>
      <c r="N5" s="4" t="n">
        <v>-7</v>
      </c>
      <c r="O5" s="10">
        <f>IF(G5="","",1+SUM(H5:N5)/100)</f>
        <v/>
      </c>
      <c r="P5" s="9">
        <f>IF(G5="","",G5*O5)</f>
        <v/>
      </c>
      <c r="Q5" s="4" t="inlineStr">
        <is>
          <t>Sí</t>
        </is>
      </c>
      <c r="R5" s="4" t="inlineStr">
        <is>
          <t>Reformado; 45 días publicado</t>
        </is>
      </c>
      <c r="S5">
        <f>IF(AND(Q5="Sí",ISNUMBER(P5)),C5*P5,0)</f>
        <v/>
      </c>
      <c r="T5">
        <f>IF(AND(Q5="Sí",ISNUMBER(P5)),C5,0)</f>
        <v/>
      </c>
    </row>
    <row r="6">
      <c r="A6" t="n">
        <v>5</v>
      </c>
      <c r="B6" s="4" t="inlineStr">
        <is>
          <t>Publicado</t>
        </is>
      </c>
      <c r="C6" s="7">
        <f>IF(B6="Vendido",3,IF(B6="Retirado",2,IF(B6="Publicado",1,"")))</f>
        <v/>
      </c>
      <c r="D6" s="4" t="inlineStr">
        <is>
          <t>Misma calle</t>
        </is>
      </c>
      <c r="E6" s="4" t="n">
        <v>85</v>
      </c>
      <c r="F6" s="8" t="n">
        <v>299000</v>
      </c>
      <c r="G6" s="9">
        <f>IF(AND(E6&gt;0,F6&gt;0),F6/E6,"")</f>
        <v/>
      </c>
      <c r="H6" s="4" t="n">
        <v>0</v>
      </c>
      <c r="I6" s="4" t="n">
        <v>0</v>
      </c>
      <c r="J6" s="4" t="n">
        <v>12</v>
      </c>
      <c r="K6" s="4" t="n">
        <v>0</v>
      </c>
      <c r="L6" s="4" t="n">
        <v>0</v>
      </c>
      <c r="M6" s="4" t="n">
        <v>0</v>
      </c>
      <c r="N6" s="4" t="n">
        <v>-7</v>
      </c>
      <c r="O6" s="10">
        <f>IF(G6="","",1+SUM(H6:N6)/100)</f>
        <v/>
      </c>
      <c r="P6" s="9">
        <f>IF(G6="","",G6*O6)</f>
        <v/>
      </c>
      <c r="Q6" s="4" t="inlineStr">
        <is>
          <t>No</t>
        </is>
      </c>
      <c r="R6" s="4" t="inlineStr">
        <is>
          <t>A reformar; 120 días sin vender → atípico</t>
        </is>
      </c>
      <c r="S6">
        <f>IF(AND(Q6="Sí",ISNUMBER(P6)),C6*P6,0)</f>
        <v/>
      </c>
      <c r="T6">
        <f>IF(AND(Q6="Sí",ISNUMBER(P6)),C6,0)</f>
        <v/>
      </c>
    </row>
    <row r="7">
      <c r="A7" t="n">
        <v>6</v>
      </c>
      <c r="B7" s="4" t="inlineStr">
        <is>
          <t>Publicado</t>
        </is>
      </c>
      <c r="C7" s="7">
        <f>IF(B7="Vendido",3,IF(B7="Retirado",2,IF(B7="Publicado",1,"")))</f>
        <v/>
      </c>
      <c r="D7" s="4" t="inlineStr">
        <is>
          <t>A 400 m</t>
        </is>
      </c>
      <c r="E7" s="4" t="n">
        <v>78</v>
      </c>
      <c r="F7" s="8" t="n">
        <v>259000</v>
      </c>
      <c r="G7" s="9">
        <f>IF(AND(E7&gt;0,F7&gt;0),F7/E7,"")</f>
        <v/>
      </c>
      <c r="H7" s="4" t="n">
        <v>0</v>
      </c>
      <c r="I7" s="4" t="n">
        <v>8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-7</v>
      </c>
      <c r="O7" s="10">
        <f>IF(G7="","",1+SUM(H7:N7)/100)</f>
        <v/>
      </c>
      <c r="P7" s="9">
        <f>IF(G7="","",G7*O7)</f>
        <v/>
      </c>
      <c r="Q7" s="4" t="inlineStr">
        <is>
          <t>Sí</t>
        </is>
      </c>
      <c r="R7" s="4" t="inlineStr">
        <is>
          <t>Bajo; 20 días publicado</t>
        </is>
      </c>
      <c r="S7">
        <f>IF(AND(Q7="Sí",ISNUMBER(P7)),C7*P7,0)</f>
        <v/>
      </c>
      <c r="T7">
        <f>IF(AND(Q7="Sí",ISNUMBER(P7)),C7,0)</f>
        <v/>
      </c>
    </row>
    <row r="8">
      <c r="A8" t="n">
        <v>7</v>
      </c>
      <c r="B8" s="4" t="n"/>
      <c r="C8" s="7">
        <f>IF(B8="Vendido",3,IF(B8="Retirado",2,IF(B8="Publicado",1,"")))</f>
        <v/>
      </c>
      <c r="D8" s="4" t="n"/>
      <c r="E8" s="4" t="n"/>
      <c r="F8" s="8" t="n"/>
      <c r="G8" s="9">
        <f>IF(AND(E8&gt;0,F8&gt;0),F8/E8,"")</f>
        <v/>
      </c>
      <c r="H8" s="4" t="n"/>
      <c r="I8" s="4" t="n"/>
      <c r="J8" s="4" t="n"/>
      <c r="K8" s="4" t="n"/>
      <c r="L8" s="4" t="n"/>
      <c r="M8" s="4" t="n"/>
      <c r="N8" s="4" t="n"/>
      <c r="O8" s="10">
        <f>IF(G8="","",1+SUM(H8:N8)/100)</f>
        <v/>
      </c>
      <c r="P8" s="9">
        <f>IF(G8="","",G8*O8)</f>
        <v/>
      </c>
      <c r="Q8" s="4" t="n"/>
      <c r="R8" s="4" t="n"/>
      <c r="S8">
        <f>IF(AND(Q8="Sí",ISNUMBER(P8)),C8*P8,0)</f>
        <v/>
      </c>
      <c r="T8">
        <f>IF(AND(Q8="Sí",ISNUMBER(P8)),C8,0)</f>
        <v/>
      </c>
    </row>
    <row r="9">
      <c r="A9" t="n">
        <v>8</v>
      </c>
      <c r="B9" s="4" t="n"/>
      <c r="C9" s="7">
        <f>IF(B9="Vendido",3,IF(B9="Retirado",2,IF(B9="Publicado",1,"")))</f>
        <v/>
      </c>
      <c r="D9" s="4" t="n"/>
      <c r="E9" s="4" t="n"/>
      <c r="F9" s="8" t="n"/>
      <c r="G9" s="9">
        <f>IF(AND(E9&gt;0,F9&gt;0),F9/E9,"")</f>
        <v/>
      </c>
      <c r="H9" s="4" t="n"/>
      <c r="I9" s="4" t="n"/>
      <c r="J9" s="4" t="n"/>
      <c r="K9" s="4" t="n"/>
      <c r="L9" s="4" t="n"/>
      <c r="M9" s="4" t="n"/>
      <c r="N9" s="4" t="n"/>
      <c r="O9" s="10">
        <f>IF(G9="","",1+SUM(H9:N9)/100)</f>
        <v/>
      </c>
      <c r="P9" s="9">
        <f>IF(G9="","",G9*O9)</f>
        <v/>
      </c>
      <c r="Q9" s="4" t="n"/>
      <c r="R9" s="4" t="n"/>
      <c r="S9">
        <f>IF(AND(Q9="Sí",ISNUMBER(P9)),C9*P9,0)</f>
        <v/>
      </c>
      <c r="T9">
        <f>IF(AND(Q9="Sí",ISNUMBER(P9)),C9,0)</f>
        <v/>
      </c>
    </row>
    <row r="10">
      <c r="A10" t="n">
        <v>9</v>
      </c>
      <c r="B10" s="4" t="n"/>
      <c r="C10" s="7">
        <f>IF(B10="Vendido",3,IF(B10="Retirado",2,IF(B10="Publicado",1,"")))</f>
        <v/>
      </c>
      <c r="D10" s="4" t="n"/>
      <c r="E10" s="4" t="n"/>
      <c r="F10" s="8" t="n"/>
      <c r="G10" s="9">
        <f>IF(AND(E10&gt;0,F10&gt;0),F10/E10,"")</f>
        <v/>
      </c>
      <c r="H10" s="4" t="n"/>
      <c r="I10" s="4" t="n"/>
      <c r="J10" s="4" t="n"/>
      <c r="K10" s="4" t="n"/>
      <c r="L10" s="4" t="n"/>
      <c r="M10" s="4" t="n"/>
      <c r="N10" s="4" t="n"/>
      <c r="O10" s="10">
        <f>IF(G10="","",1+SUM(H10:N10)/100)</f>
        <v/>
      </c>
      <c r="P10" s="9">
        <f>IF(G10="","",G10*O10)</f>
        <v/>
      </c>
      <c r="Q10" s="4" t="n"/>
      <c r="R10" s="4" t="n"/>
      <c r="S10">
        <f>IF(AND(Q10="Sí",ISNUMBER(P10)),C10*P10,0)</f>
        <v/>
      </c>
      <c r="T10">
        <f>IF(AND(Q10="Sí",ISNUMBER(P10)),C10,0)</f>
        <v/>
      </c>
    </row>
    <row r="11">
      <c r="A11" t="n">
        <v>10</v>
      </c>
      <c r="B11" s="4" t="n"/>
      <c r="C11" s="7">
        <f>IF(B11="Vendido",3,IF(B11="Retirado",2,IF(B11="Publicado",1,"")))</f>
        <v/>
      </c>
      <c r="D11" s="4" t="n"/>
      <c r="E11" s="4" t="n"/>
      <c r="F11" s="8" t="n"/>
      <c r="G11" s="9">
        <f>IF(AND(E11&gt;0,F11&gt;0),F11/E11,"")</f>
        <v/>
      </c>
      <c r="H11" s="4" t="n"/>
      <c r="I11" s="4" t="n"/>
      <c r="J11" s="4" t="n"/>
      <c r="K11" s="4" t="n"/>
      <c r="L11" s="4" t="n"/>
      <c r="M11" s="4" t="n"/>
      <c r="N11" s="4" t="n"/>
      <c r="O11" s="10">
        <f>IF(G11="","",1+SUM(H11:N11)/100)</f>
        <v/>
      </c>
      <c r="P11" s="9">
        <f>IF(G11="","",G11*O11)</f>
        <v/>
      </c>
      <c r="Q11" s="4" t="n"/>
      <c r="R11" s="4" t="n"/>
      <c r="S11">
        <f>IF(AND(Q11="Sí",ISNUMBER(P11)),C11*P11,0)</f>
        <v/>
      </c>
      <c r="T11">
        <f>IF(AND(Q11="Sí",ISNUMBER(P11)),C11,0)</f>
        <v/>
      </c>
    </row>
  </sheetData>
  <dataValidations count="2">
    <dataValidation sqref="B2 B3 B4 B5 B6 B7 B8 B9 B10 B11" showDropDown="0" showInputMessage="0" showErrorMessage="0" allowBlank="1" type="list">
      <formula1>"Vendido,Retirado,Publicado"</formula1>
    </dataValidation>
    <dataValidation sqref="Q2 Q3 Q4 Q5 Q6 Q7 Q8 Q9 Q10 Q1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60" customWidth="1" min="3" max="3"/>
  </cols>
  <sheetData>
    <row r="1">
      <c r="A1" s="1" t="inlineStr">
        <is>
          <t>Resultado de la valoración</t>
        </is>
      </c>
    </row>
    <row r="3">
      <c r="A3" t="inlineStr">
        <is>
          <t>Rango de valor (± %)</t>
        </is>
      </c>
      <c r="B3" s="4" t="n">
        <v>3</v>
      </c>
      <c r="C3" s="11" t="inlineStr">
        <is>
          <t>Amplitud del rango alrededor del valor</t>
        </is>
      </c>
    </row>
    <row r="4">
      <c r="A4" t="inlineStr">
        <is>
          <t>Margen de negociación en el precio de salida (%)</t>
        </is>
      </c>
      <c r="B4" s="4" t="n">
        <v>4</v>
      </c>
      <c r="C4" s="11" t="inlineStr">
        <is>
          <t>Lo que se deja para negociar (habitual 3–5 %)</t>
        </is>
      </c>
    </row>
    <row r="6">
      <c r="A6" s="12" t="inlineStr">
        <is>
          <t>Comparables incluidos</t>
        </is>
      </c>
      <c r="B6" s="13">
        <f>COUNTIF(Comparables!T2:T11,"&gt;0")</f>
        <v/>
      </c>
    </row>
    <row r="7">
      <c r="A7" s="12" t="inlineStr">
        <is>
          <t>€/m² homogeneizado medio ponderado</t>
        </is>
      </c>
      <c r="B7" s="9">
        <f>IFERROR(SUM(Comparables!S2:S11)/SUM(Comparables!T2:T11),0)</f>
        <v/>
      </c>
    </row>
    <row r="8">
      <c r="A8" s="12" t="inlineStr">
        <is>
          <t>Superficie de la vivienda (m²)</t>
        </is>
      </c>
      <c r="B8" s="9">
        <f>Inmueble!B5</f>
        <v/>
      </c>
    </row>
    <row r="9">
      <c r="A9" s="3" t="inlineStr">
        <is>
          <t>VALOR DE MERCADO ESTIMADO (€)</t>
        </is>
      </c>
      <c r="B9" s="14">
        <f>ROUND(B7*B8/1000,0)*1000</f>
        <v/>
      </c>
    </row>
    <row r="10">
      <c r="A10" s="12" t="inlineStr">
        <is>
          <t>Rango bajo (€)</t>
        </is>
      </c>
      <c r="B10" s="9">
        <f>ROUND(B9*(1-B3/100)/1000,0)*1000</f>
        <v/>
      </c>
    </row>
    <row r="11">
      <c r="A11" s="12" t="inlineStr">
        <is>
          <t>Rango alto (€)</t>
        </is>
      </c>
      <c r="B11" s="9">
        <f>ROUND(B9*(1+B3/100)/1000,0)*1000</f>
        <v/>
      </c>
    </row>
    <row r="12">
      <c r="A12" s="3" t="inlineStr">
        <is>
          <t>PRECIO DE SALIDA SUGERIDO (€)</t>
        </is>
      </c>
      <c r="B12" s="14">
        <f>ROUND(B9*(1+B4/100)/1000,0)*1000</f>
        <v/>
      </c>
    </row>
    <row r="14">
      <c r="A14" s="2" t="inlineStr">
        <is>
          <t>Nota: el €/m² medio solo usa los comparables con 'Incluir = Sí'. Vendidos pesan 3, retirados 2 y publicados 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62" customWidth="1" min="3" max="3"/>
  </cols>
  <sheetData>
    <row r="1">
      <c r="A1" s="1" t="inlineStr">
        <is>
          <t>Lo que le queda al propietario (estimación orientativa)</t>
        </is>
      </c>
    </row>
    <row r="2">
      <c r="A2" s="2" t="inlineStr">
        <is>
          <t>Confirma impuestos y gastos con un asesor fiscal; esto sirve para la conversación, no como cálculo definitivo.</t>
        </is>
      </c>
    </row>
    <row r="4">
      <c r="A4" s="12" t="inlineStr">
        <is>
          <t>Precio de venta previsto (€)</t>
        </is>
      </c>
      <c r="B4" s="9">
        <f>Resultado!B9</f>
        <v/>
      </c>
      <c r="C4" s="11" t="inlineStr">
        <is>
          <t>Por defecto, el valor de mercado; cámbialo si quieres</t>
        </is>
      </c>
    </row>
    <row r="5">
      <c r="A5" s="12" t="inlineStr">
        <is>
          <t>Honorarios de la agencia (%)</t>
        </is>
      </c>
      <c r="B5" s="15" t="n">
        <v>4</v>
      </c>
      <c r="C5" s="11" t="inlineStr">
        <is>
          <t>Según tu nota de encargo</t>
        </is>
      </c>
    </row>
    <row r="6">
      <c r="A6" s="12" t="inlineStr">
        <is>
          <t>IVA de los honorarios (%)</t>
        </is>
      </c>
      <c r="B6" s="15" t="n">
        <v>21</v>
      </c>
      <c r="C6" s="11" t="inlineStr"/>
    </row>
    <row r="7">
      <c r="A7" s="12" t="inlineStr">
        <is>
          <t>Honorarios + IVA (€)</t>
        </is>
      </c>
      <c r="B7" s="9">
        <f>B4*B5/100*(1+B6/100)</f>
        <v/>
      </c>
      <c r="C7" s="11" t="inlineStr"/>
    </row>
    <row r="8">
      <c r="A8" s="12" t="inlineStr">
        <is>
          <t>Hipoteca pendiente a cancelar (€)</t>
        </is>
      </c>
      <c r="B8" s="8" t="n">
        <v>60000</v>
      </c>
      <c r="C8" s="11" t="inlineStr">
        <is>
          <t>Saldo que se paga en la notaría</t>
        </is>
      </c>
    </row>
    <row r="9">
      <c r="A9" s="12" t="inlineStr">
        <is>
          <t>Gastos de cancelación registral (€)</t>
        </is>
      </c>
      <c r="B9" s="8" t="n">
        <v>400</v>
      </c>
      <c r="C9" s="11" t="inlineStr">
        <is>
          <t>Orientativo</t>
        </is>
      </c>
    </row>
    <row r="10">
      <c r="A10" s="12" t="inlineStr">
        <is>
          <t>Plusvalía municipal estimada (€)</t>
        </is>
      </c>
      <c r="B10" s="8" t="n">
        <v>1500</v>
      </c>
      <c r="C10" s="11" t="inlineStr">
        <is>
          <t>Pedir cálculo al ayuntamiento o gestoría</t>
        </is>
      </c>
    </row>
    <row r="11">
      <c r="A11" s="12" t="inlineStr">
        <is>
          <t>Precio de compra + gastos de compra (€)</t>
        </is>
      </c>
      <c r="B11" s="8" t="n">
        <v>150000</v>
      </c>
      <c r="C11" s="11" t="inlineStr">
        <is>
          <t>Para estimar la ganancia en IRPF</t>
        </is>
      </c>
    </row>
    <row r="12">
      <c r="A12" s="12" t="inlineStr">
        <is>
          <t>Ganancia patrimonial estimada (€)</t>
        </is>
      </c>
      <c r="B12" s="9">
        <f>MAX(0,B4-B7-B9-B10-B11)</f>
        <v/>
      </c>
      <c r="C12" s="11" t="inlineStr">
        <is>
          <t>Precio − gastos de venta − coste de adquisición</t>
        </is>
      </c>
    </row>
    <row r="13">
      <c r="A13" s="12" t="inlineStr">
        <is>
          <t>IRPF estimado sobre la ganancia (€)</t>
        </is>
      </c>
      <c r="B13" s="9">
        <f>IF(B12&lt;=6000,B12*0.19,IF(B12&lt;=50000,1140+(B12-6000)*0.21,IF(B12&lt;=200000,10380+(B12-50000)*0.23,IF(B12&lt;=300000,44880+(B12-200000)*0.27,71880+(B12-300000)*0.3))))</f>
        <v/>
      </c>
      <c r="C13" s="11" t="inlineStr">
        <is>
          <t>Escala del ahorro orientativa (19 %–30 %). 0 si exento (mayor de 65 con vivienda habitual, reinversión…)</t>
        </is>
      </c>
    </row>
    <row r="14">
      <c r="A14" s="12" t="inlineStr">
        <is>
          <t>¿Exento de IRPF? (Sí/No)</t>
        </is>
      </c>
      <c r="B14" s="4" t="inlineStr">
        <is>
          <t>No</t>
        </is>
      </c>
      <c r="C14" s="11" t="inlineStr">
        <is>
          <t>Mayor de 65 vendiendo su vivienda habitual, reinversión en vivienda habitual…</t>
        </is>
      </c>
    </row>
    <row r="15">
      <c r="A15" s="12" t="inlineStr">
        <is>
          <t>Otros gastos (certificado energético, etc.) (€)</t>
        </is>
      </c>
      <c r="B15" s="8" t="n">
        <v>300</v>
      </c>
      <c r="C15" s="11" t="inlineStr"/>
    </row>
    <row r="16">
      <c r="A16" s="3" t="inlineStr">
        <is>
          <t>NETO ESTIMADO PARA EL PROPIETARIO (€)</t>
        </is>
      </c>
      <c r="B16" s="14">
        <f>B4-B7-B8-B9-B10-IF(B14="Sí",0,B13)-B15</f>
        <v/>
      </c>
      <c r="C16" s="11" t="inlineStr">
        <is>
          <t>Lo que más le importa al propietario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2026-10-26T19:47:38Z</dcterms:created>
  <dcterms:modified xmlns:dcterms="http://purl.org/dc/terms/" xmlns:xsi="http://www.w3.org/2001/XMLSchema-instance" xsi:type="dcterms:W3CDTF">2026-10-26T19:47:38Z</dcterms:modified>
</cp:coreProperties>
</file>